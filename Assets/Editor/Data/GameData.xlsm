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D:\Work\Breach\Assets\Editor\Data\"/>
    </mc:Choice>
  </mc:AlternateContent>
  <xr:revisionPtr revIDLastSave="0" documentId="13_ncr:1_{B58586E8-D0A2-4787-8F2B-3BB4D0B5F9B5}" xr6:coauthVersionLast="47" xr6:coauthVersionMax="47" xr10:uidLastSave="{00000000-0000-0000-0000-000000000000}"/>
  <bookViews>
    <workbookView xWindow="1455" yWindow="3450" windowWidth="22320" windowHeight="15240" firstSheet="1" activeTab="7" xr2:uid="{9DC7769A-4B35-4CF5-AA3F-41C203BF15C2}"/>
  </bookViews>
  <sheets>
    <sheet name="ProgramData" sheetId="1" r:id="rId1"/>
    <sheet name="EnemyData" sheetId="5" r:id="rId2"/>
    <sheet name="CommandData" sheetId="2" r:id="rId3"/>
    <sheet name="ModuleData" sheetId="3" r:id="rId4"/>
    <sheet name="BuffData" sheetId="7" r:id="rId5"/>
    <sheet name="PatchData" sheetId="4" r:id="rId6"/>
    <sheet name="PoolData" sheetId="8" r:id="rId7"/>
    <sheet name="BattleData" sheetId="9" r:id="rId8"/>
  </sheets>
  <definedNames>
    <definedName name="_xlpm.resul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3" l="1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A2" i="3"/>
  <c r="A18" i="3"/>
  <c r="A17" i="3"/>
  <c r="A19" i="3"/>
  <c r="A16" i="3"/>
  <c r="A15" i="3"/>
  <c r="A14" i="3"/>
  <c r="A13" i="3"/>
  <c r="A12" i="3"/>
  <c r="A11" i="3"/>
  <c r="A10" i="3"/>
  <c r="A6" i="3"/>
  <c r="A8" i="3"/>
  <c r="A7" i="3"/>
  <c r="A9" i="3"/>
  <c r="A5" i="3"/>
  <c r="A4" i="3"/>
  <c r="A3" i="3"/>
</calcChain>
</file>

<file path=xl/sharedStrings.xml><?xml version="1.0" encoding="utf-8"?>
<sst xmlns="http://schemas.openxmlformats.org/spreadsheetml/2006/main" count="363" uniqueCount="276">
  <si>
    <t>id</t>
  </si>
  <si>
    <t>nameKo</t>
  </si>
  <si>
    <t>nameEn</t>
  </si>
  <si>
    <t>defaultMaxIntegrity</t>
  </si>
  <si>
    <t>고스트</t>
    <phoneticPr fontId="1" type="noConversion"/>
  </si>
  <si>
    <t>GHOST</t>
    <phoneticPr fontId="1" type="noConversion"/>
  </si>
  <si>
    <t>데몬</t>
    <phoneticPr fontId="1" type="noConversion"/>
  </si>
  <si>
    <t>DAEMON</t>
  </si>
  <si>
    <t>프록시</t>
    <phoneticPr fontId="1" type="noConversion"/>
  </si>
  <si>
    <t>PROXY</t>
    <phoneticPr fontId="1" type="noConversion"/>
  </si>
  <si>
    <t>id</t>
    <phoneticPr fontId="1" type="noConversion"/>
  </si>
  <si>
    <t>nameKo</t>
    <phoneticPr fontId="1" type="noConversion"/>
  </si>
  <si>
    <t>nameEn</t>
    <phoneticPr fontId="1" type="noConversion"/>
  </si>
  <si>
    <t>type</t>
    <phoneticPr fontId="1" type="noConversion"/>
  </si>
  <si>
    <t>integrityBonus</t>
    <phoneticPr fontId="1" type="noConversion"/>
  </si>
  <si>
    <t>commands</t>
    <phoneticPr fontId="1" type="noConversion"/>
  </si>
  <si>
    <t>Malware</t>
    <phoneticPr fontId="1" type="noConversion"/>
  </si>
  <si>
    <t>Firewall</t>
    <phoneticPr fontId="1" type="noConversion"/>
  </si>
  <si>
    <t>cmd_inject</t>
    <phoneticPr fontId="1" type="noConversion"/>
  </si>
  <si>
    <t>cmd_overclock</t>
    <phoneticPr fontId="1" type="noConversion"/>
  </si>
  <si>
    <t>cmd_firewall</t>
    <phoneticPr fontId="1" type="noConversion"/>
  </si>
  <si>
    <t>cmd_snipe</t>
    <phoneticPr fontId="1" type="noConversion"/>
  </si>
  <si>
    <t>minRange</t>
    <phoneticPr fontId="1" type="noConversion"/>
  </si>
  <si>
    <t>maxRange</t>
    <phoneticPr fontId="1" type="noConversion"/>
  </si>
  <si>
    <t>clockCost</t>
    <phoneticPr fontId="1" type="noConversion"/>
  </si>
  <si>
    <t>criticalMultiplier</t>
    <phoneticPr fontId="1" type="noConversion"/>
  </si>
  <si>
    <t>effects</t>
    <phoneticPr fontId="1" type="noConversion"/>
  </si>
  <si>
    <t>patch_boost</t>
    <phoneticPr fontId="1" type="noConversion"/>
  </si>
  <si>
    <t>.부스트</t>
    <phoneticPr fontId="1" type="noConversion"/>
  </si>
  <si>
    <t>BOOST</t>
    <phoneticPr fontId="1" type="noConversion"/>
  </si>
  <si>
    <t>descKo</t>
    <phoneticPr fontId="1" type="noConversion"/>
  </si>
  <si>
    <t>descEn</t>
    <phoneticPr fontId="1" type="noConversion"/>
  </si>
  <si>
    <t>patch_rapid</t>
    <phoneticPr fontId="1" type="noConversion"/>
  </si>
  <si>
    <t>래피드</t>
    <phoneticPr fontId="1" type="noConversion"/>
  </si>
  <si>
    <t>RAPID</t>
    <phoneticPr fontId="1" type="noConversion"/>
  </si>
  <si>
    <t>cmd_ping</t>
    <phoneticPr fontId="1" type="noConversion"/>
  </si>
  <si>
    <t>핑</t>
    <phoneticPr fontId="1" type="noConversion"/>
  </si>
  <si>
    <t>PING</t>
    <phoneticPr fontId="1" type="noConversion"/>
  </si>
  <si>
    <t>Attack</t>
    <phoneticPr fontId="1" type="noConversion"/>
  </si>
  <si>
    <t>cmd_scan</t>
    <phoneticPr fontId="1" type="noConversion"/>
  </si>
  <si>
    <t>스캔</t>
    <phoneticPr fontId="1" type="noConversion"/>
  </si>
  <si>
    <t>SCAN</t>
    <phoneticPr fontId="1" type="noConversion"/>
  </si>
  <si>
    <t>payload</t>
    <phoneticPr fontId="1" type="noConversion"/>
  </si>
  <si>
    <t>payloadBonus</t>
    <phoneticPr fontId="1" type="noConversion"/>
  </si>
  <si>
    <t>Increase payload by 2</t>
    <phoneticPr fontId="1" type="noConversion"/>
  </si>
  <si>
    <t>patch_extracritical</t>
    <phoneticPr fontId="1" type="noConversion"/>
  </si>
  <si>
    <t>CRITICAL+</t>
    <phoneticPr fontId="1" type="noConversion"/>
  </si>
  <si>
    <t>크리티컬+</t>
    <phoneticPr fontId="1" type="noConversion"/>
  </si>
  <si>
    <t>Reduce clock cost by 1</t>
    <phoneticPr fontId="1" type="noConversion"/>
  </si>
  <si>
    <t>Increase critical multiplier by 0.5</t>
    <phoneticPr fontId="1" type="noConversion"/>
  </si>
  <si>
    <t>크리티컬 배율을 0.5 증가</t>
    <phoneticPr fontId="1" type="noConversion"/>
  </si>
  <si>
    <t>4X SCOPE</t>
    <phoneticPr fontId="1" type="noConversion"/>
  </si>
  <si>
    <t>클럭 코스트 1 감소</t>
    <phoneticPr fontId="1" type="noConversion"/>
  </si>
  <si>
    <t>patch_4xscope</t>
    <phoneticPr fontId="1" type="noConversion"/>
  </si>
  <si>
    <t>patch_8xscope</t>
    <phoneticPr fontId="1" type="noConversion"/>
  </si>
  <si>
    <t>4배율 스코프</t>
    <phoneticPr fontId="1" type="noConversion"/>
  </si>
  <si>
    <t>8배율 스코프</t>
    <phoneticPr fontId="1" type="noConversion"/>
  </si>
  <si>
    <t>8X SCOPE</t>
    <phoneticPr fontId="1" type="noConversion"/>
  </si>
  <si>
    <t>patch_burst</t>
    <phoneticPr fontId="1" type="noConversion"/>
  </si>
  <si>
    <t>버스트</t>
    <phoneticPr fontId="1" type="noConversion"/>
  </si>
  <si>
    <t>BURST</t>
    <phoneticPr fontId="1" type="noConversion"/>
  </si>
  <si>
    <t>페이로드 2 증가</t>
    <phoneticPr fontId="1" type="noConversion"/>
  </si>
  <si>
    <t>페이로드 (4-거리)만큼 증가 (최소 0)</t>
    <phoneticPr fontId="1" type="noConversion"/>
  </si>
  <si>
    <t>Increase payload by (4-distance) (min 0)</t>
    <phoneticPr fontId="1" type="noConversion"/>
  </si>
  <si>
    <t>patch_armor</t>
    <phoneticPr fontId="1" type="noConversion"/>
  </si>
  <si>
    <t>아머</t>
    <phoneticPr fontId="1" type="noConversion"/>
  </si>
  <si>
    <t>ARMOR</t>
    <phoneticPr fontId="1" type="noConversion"/>
  </si>
  <si>
    <t>최대 무결성 10 증가</t>
    <phoneticPr fontId="1" type="noConversion"/>
  </si>
  <si>
    <t>Increase max integrity by 10</t>
    <phoneticPr fontId="1" type="noConversion"/>
  </si>
  <si>
    <t>patch_regen</t>
    <phoneticPr fontId="1" type="noConversion"/>
  </si>
  <si>
    <t>리젠</t>
    <phoneticPr fontId="1" type="noConversion"/>
  </si>
  <si>
    <t>REGEN</t>
    <phoneticPr fontId="1" type="noConversion"/>
  </si>
  <si>
    <t>라운드 종료 시 무결성 3 회복</t>
    <phoneticPr fontId="1" type="noConversion"/>
  </si>
  <si>
    <t>Restore 3 integrity at end of round</t>
    <phoneticPr fontId="1" type="noConversion"/>
  </si>
  <si>
    <t>patch_deflect</t>
    <phoneticPr fontId="1" type="noConversion"/>
  </si>
  <si>
    <t>피격 시 15% 확률로 무효화</t>
    <phoneticPr fontId="1" type="noConversion"/>
  </si>
  <si>
    <t>굴절</t>
    <phoneticPr fontId="1" type="noConversion"/>
  </si>
  <si>
    <t>DEFLECT</t>
    <phoneticPr fontId="1" type="noConversion"/>
  </si>
  <si>
    <t>15% chance to deflect when hit</t>
    <phoneticPr fontId="1" type="noConversion"/>
  </si>
  <si>
    <t>사망 시 무결성 10으로 부활(전투당 1회)</t>
    <phoneticPr fontId="1" type="noConversion"/>
  </si>
  <si>
    <t>On death, revive with 10 integrity (once per battle)</t>
    <phoneticPr fontId="1" type="noConversion"/>
  </si>
  <si>
    <t>patch_cache</t>
    <phoneticPr fontId="1" type="noConversion"/>
  </si>
  <si>
    <t>캐시</t>
    <phoneticPr fontId="1" type="noConversion"/>
  </si>
  <si>
    <t>CACHE</t>
    <phoneticPr fontId="1" type="noConversion"/>
  </si>
  <si>
    <t>남은 클럭 코스트 다음 라운드 전이 (최대 2)</t>
    <phoneticPr fontId="1" type="noConversion"/>
  </si>
  <si>
    <t>Carry over unused clock to next round (max 2)</t>
    <phoneticPr fontId="1" type="noConversion"/>
  </si>
  <si>
    <t>patch_priority</t>
    <phoneticPr fontId="1" type="noConversion"/>
  </si>
  <si>
    <t>우선 행동</t>
    <phoneticPr fontId="1" type="noConversion"/>
  </si>
  <si>
    <t>동속일 때 먼저 행동 (단, 모두 이 효과가 있을 경우 플레이어가 우선됨)</t>
    <phoneticPr fontId="1" type="noConversion"/>
  </si>
  <si>
    <t>Act first at same layer (player wins ties if both have this effect)</t>
    <phoneticPr fontId="1" type="noConversion"/>
  </si>
  <si>
    <t>PRIORITY</t>
    <phoneticPr fontId="1" type="noConversion"/>
  </si>
  <si>
    <t>patch_adaptive</t>
    <phoneticPr fontId="1" type="noConversion"/>
  </si>
  <si>
    <t>어댑티브</t>
    <phoneticPr fontId="1" type="noConversion"/>
  </si>
  <si>
    <t>ADAPTIVE</t>
    <phoneticPr fontId="1" type="noConversion"/>
  </si>
  <si>
    <t>모듈 슬롯 1 증가</t>
    <phoneticPr fontId="1" type="noConversion"/>
  </si>
  <si>
    <t>메모리 확장</t>
    <phoneticPr fontId="1" type="noConversion"/>
  </si>
  <si>
    <t>Increase module slot by 1</t>
    <phoneticPr fontId="1" type="noConversion"/>
  </si>
  <si>
    <t>Memory Expansion</t>
    <phoneticPr fontId="1" type="noConversion"/>
  </si>
  <si>
    <t>patch_memoryexpansion</t>
    <phoneticPr fontId="1" type="noConversion"/>
  </si>
  <si>
    <t>INJECT</t>
    <phoneticPr fontId="1" type="noConversion"/>
  </si>
  <si>
    <t>인젝</t>
    <phoneticPr fontId="1" type="noConversion"/>
  </si>
  <si>
    <t>Support</t>
    <phoneticPr fontId="1" type="noConversion"/>
  </si>
  <si>
    <t>스나이프</t>
    <phoneticPr fontId="1" type="noConversion"/>
  </si>
  <si>
    <t>방화벽</t>
    <phoneticPr fontId="1" type="noConversion"/>
  </si>
  <si>
    <t>오버클록</t>
    <phoneticPr fontId="1" type="noConversion"/>
  </si>
  <si>
    <t>SNIPE</t>
    <phoneticPr fontId="1" type="noConversion"/>
  </si>
  <si>
    <t>FIREWALL</t>
    <phoneticPr fontId="1" type="noConversion"/>
  </si>
  <si>
    <t>OVERCLOCK</t>
    <phoneticPr fontId="1" type="noConversion"/>
  </si>
  <si>
    <t>다음 공격 페이로드 5증가</t>
    <phoneticPr fontId="1" type="noConversion"/>
  </si>
  <si>
    <t>이번 라운드 피격 시 데미지 5 감소</t>
    <phoneticPr fontId="1" type="noConversion"/>
  </si>
  <si>
    <t>Increase penetration by 1 when distance is 2 or more</t>
    <phoneticPr fontId="1" type="noConversion"/>
  </si>
  <si>
    <t>Increase penetration by 2 when distance is 4 or more</t>
    <phoneticPr fontId="1" type="noConversion"/>
  </si>
  <si>
    <t>Increase penetration by 1</t>
    <phoneticPr fontId="1" type="noConversion"/>
  </si>
  <si>
    <t>거리가 2 이상일 때 침투력 1 증가</t>
    <phoneticPr fontId="1" type="noConversion"/>
  </si>
  <si>
    <t>거리가 4 이상일 때 침투력 2 증가</t>
    <phoneticPr fontId="1" type="noConversion"/>
  </si>
  <si>
    <t>침투력 1 증가</t>
    <phoneticPr fontId="1" type="noConversion"/>
  </si>
  <si>
    <t>다음 공격의 침투력 1 증가</t>
    <phoneticPr fontId="1" type="noConversion"/>
  </si>
  <si>
    <t>cmd_bruteforce</t>
    <phoneticPr fontId="1" type="noConversion"/>
  </si>
  <si>
    <t>브루트 포스</t>
    <phoneticPr fontId="1" type="noConversion"/>
  </si>
  <si>
    <t>BRUTE FORCE</t>
    <phoneticPr fontId="1" type="noConversion"/>
  </si>
  <si>
    <t>cmd_ddos</t>
    <phoneticPr fontId="1" type="noConversion"/>
  </si>
  <si>
    <t>디도스</t>
    <phoneticPr fontId="1" type="noConversion"/>
  </si>
  <si>
    <t>DDOS</t>
    <phoneticPr fontId="1" type="noConversion"/>
  </si>
  <si>
    <t>EXPLOIT</t>
    <phoneticPr fontId="1" type="noConversion"/>
  </si>
  <si>
    <t>cmd_exploit</t>
    <phoneticPr fontId="1" type="noConversion"/>
  </si>
  <si>
    <t>cmd_fragment</t>
    <phoneticPr fontId="1" type="noConversion"/>
  </si>
  <si>
    <t>FRAGMENT</t>
    <phoneticPr fontId="1" type="noConversion"/>
  </si>
  <si>
    <t>단편화</t>
    <phoneticPr fontId="1" type="noConversion"/>
  </si>
  <si>
    <t>익스플로잇</t>
    <phoneticPr fontId="1" type="noConversion"/>
  </si>
  <si>
    <t>cmd_cookie</t>
    <phoneticPr fontId="1" type="noConversion"/>
  </si>
  <si>
    <t>쿠키</t>
    <phoneticPr fontId="1" type="noConversion"/>
  </si>
  <si>
    <t>COOKIE</t>
    <phoneticPr fontId="1" type="noConversion"/>
  </si>
  <si>
    <t>남은 클럭을 다음 라운드로 전이 (최대 3)</t>
    <phoneticPr fontId="1" type="noConversion"/>
  </si>
  <si>
    <t>cmd_reboot</t>
    <phoneticPr fontId="1" type="noConversion"/>
  </si>
  <si>
    <t>리부트</t>
    <phoneticPr fontId="1" type="noConversion"/>
  </si>
  <si>
    <t>REBOOT</t>
    <phoneticPr fontId="1" type="noConversion"/>
  </si>
  <si>
    <t>무결성 20 회복</t>
    <phoneticPr fontId="1" type="noConversion"/>
  </si>
  <si>
    <t>cmd_scramble</t>
    <phoneticPr fontId="1" type="noConversion"/>
  </si>
  <si>
    <t>스크램블</t>
    <phoneticPr fontId="1" type="noConversion"/>
  </si>
  <si>
    <t>대상의 다음 공격의 침투력 3 감소</t>
    <phoneticPr fontId="1" type="noConversion"/>
  </si>
  <si>
    <t>SCRAMBLE</t>
    <phoneticPr fontId="1" type="noConversion"/>
  </si>
  <si>
    <t>적 다음 라운드 클록 2 감소</t>
    <phoneticPr fontId="1" type="noConversion"/>
  </si>
  <si>
    <t>3회 연속 공격 (단, 각각 명중 판정을 진행함)</t>
    <phoneticPr fontId="1" type="noConversion"/>
  </si>
  <si>
    <t>cmd_ransomware</t>
    <phoneticPr fontId="1" type="noConversion"/>
  </si>
  <si>
    <t>랜섬웨어</t>
    <phoneticPr fontId="1" type="noConversion"/>
  </si>
  <si>
    <t>RANSOMWARE</t>
    <phoneticPr fontId="1" type="noConversion"/>
  </si>
  <si>
    <t>3턴 동안 라운드 종료 시 5 피해</t>
    <phoneticPr fontId="1" type="noConversion"/>
  </si>
  <si>
    <t>cmd_rootkit</t>
    <phoneticPr fontId="1" type="noConversion"/>
  </si>
  <si>
    <t>루트킷</t>
    <phoneticPr fontId="1" type="noConversion"/>
  </si>
  <si>
    <t>명중이 실패해도 5 피해</t>
    <phoneticPr fontId="1" type="noConversion"/>
  </si>
  <si>
    <t>ROOTKIT</t>
    <phoneticPr fontId="1" type="noConversion"/>
  </si>
  <si>
    <t>스푸핑</t>
    <phoneticPr fontId="1" type="noConversion"/>
  </si>
  <si>
    <t>SPOOFING</t>
    <phoneticPr fontId="1" type="noConversion"/>
  </si>
  <si>
    <t>cmd_spoofing</t>
    <phoneticPr fontId="1" type="noConversion"/>
  </si>
  <si>
    <t>cmd_corrupted</t>
    <phoneticPr fontId="1" type="noConversion"/>
  </si>
  <si>
    <t>메모리 오염</t>
    <phoneticPr fontId="1" type="noConversion"/>
  </si>
  <si>
    <t>STACK CORRUPTED</t>
    <phoneticPr fontId="1" type="noConversion"/>
  </si>
  <si>
    <t>cmd_snooping</t>
    <phoneticPr fontId="1" type="noConversion"/>
  </si>
  <si>
    <t>스누핑</t>
    <phoneticPr fontId="1" type="noConversion"/>
  </si>
  <si>
    <t>SNOOPING</t>
    <phoneticPr fontId="1" type="noConversion"/>
  </si>
  <si>
    <t>patches</t>
    <phoneticPr fontId="1" type="noConversion"/>
  </si>
  <si>
    <t>Payload:2</t>
    <phoneticPr fontId="1" type="noConversion"/>
  </si>
  <si>
    <t>ClockCost:-1</t>
    <phoneticPr fontId="1" type="noConversion"/>
  </si>
  <si>
    <t>CritMult:0.5</t>
    <phoneticPr fontId="1" type="noConversion"/>
  </si>
  <si>
    <t>Penetration:1:Distance&gt;=2</t>
    <phoneticPr fontId="1" type="noConversion"/>
  </si>
  <si>
    <t>Penetration:2:Distance&gt;=4</t>
    <phoneticPr fontId="1" type="noConversion"/>
  </si>
  <si>
    <t>Payload:4:0Distance:0</t>
    <phoneticPr fontId="1" type="noConversion"/>
  </si>
  <si>
    <t>MaxInt:10</t>
    <phoneticPr fontId="1" type="noConversion"/>
  </si>
  <si>
    <t>Regen:3:RoundEnd</t>
    <phoneticPr fontId="1" type="noConversion"/>
  </si>
  <si>
    <t>Deflect:15</t>
    <phoneticPr fontId="1" type="noConversion"/>
  </si>
  <si>
    <t>Revive:10:1</t>
    <phoneticPr fontId="1" type="noConversion"/>
  </si>
  <si>
    <t>ClockCarry:2</t>
    <phoneticPr fontId="1" type="noConversion"/>
  </si>
  <si>
    <t>Priority</t>
    <phoneticPr fontId="1" type="noConversion"/>
  </si>
  <si>
    <t>ModuleSlot:1</t>
    <phoneticPr fontId="1" type="noConversion"/>
  </si>
  <si>
    <t>EnemyClock:-2:NextRound</t>
  </si>
  <si>
    <t>MultiHit:3</t>
    <phoneticPr fontId="1" type="noConversion"/>
  </si>
  <si>
    <t>DoT:5:3:RoundEnd</t>
    <phoneticPr fontId="1" type="noConversion"/>
  </si>
  <si>
    <t>MissDamage:5</t>
    <phoneticPr fontId="1" type="noConversion"/>
  </si>
  <si>
    <t>BuffNext:Penetration:1</t>
    <phoneticPr fontId="1" type="noConversion"/>
  </si>
  <si>
    <t>Shield:5:ThisRound</t>
    <phoneticPr fontId="1" type="noConversion"/>
  </si>
  <si>
    <t>BuffNext:Payload:5</t>
    <phoneticPr fontId="1" type="noConversion"/>
  </si>
  <si>
    <t>ClockCarry:3</t>
    <phoneticPr fontId="1" type="noConversion"/>
  </si>
  <si>
    <t>Heal:20</t>
    <phoneticPr fontId="1" type="noConversion"/>
  </si>
  <si>
    <t>Debuff:Penetration:-3:NextAttack</t>
    <phoneticPr fontId="1" type="noConversion"/>
  </si>
  <si>
    <t>Reveal:Layer</t>
    <phoneticPr fontId="1" type="noConversion"/>
  </si>
  <si>
    <t>Reduce target's next attack penetration by 3</t>
    <phoneticPr fontId="1" type="noConversion"/>
  </si>
  <si>
    <t>Restore 20 integrity</t>
    <phoneticPr fontId="1" type="noConversion"/>
  </si>
  <si>
    <t>Carry over unused clock to next round (max 3)</t>
    <phoneticPr fontId="1" type="noConversion"/>
  </si>
  <si>
    <t>Increase payload of next attack by 5</t>
    <phoneticPr fontId="1" type="noConversion"/>
  </si>
  <si>
    <t>Increase penetration of next attack by 1</t>
    <phoneticPr fontId="1" type="noConversion"/>
  </si>
  <si>
    <t>Reduce damage taken by 5 this round</t>
    <phoneticPr fontId="1" type="noConversion"/>
  </si>
  <si>
    <t>Deal 5 damage even on miss</t>
    <phoneticPr fontId="1" type="noConversion"/>
  </si>
  <si>
    <t>Deal 5 damage at end of round for 3 turns</t>
    <phoneticPr fontId="1" type="noConversion"/>
  </si>
  <si>
    <t>Attack 3 times (each hit rolls separately)</t>
    <phoneticPr fontId="1" type="noConversion"/>
  </si>
  <si>
    <t>Reduce target's next round clock by 2</t>
    <phoneticPr fontId="1" type="noConversion"/>
  </si>
  <si>
    <t>Reveal enemy's this round layer</t>
    <phoneticPr fontId="1" type="noConversion"/>
  </si>
  <si>
    <t>적의 이번 라운드 LAYER 확인</t>
    <phoneticPr fontId="1" type="noConversion"/>
  </si>
  <si>
    <t>patch_recovery</t>
    <phoneticPr fontId="1" type="noConversion"/>
  </si>
  <si>
    <t>복원</t>
    <phoneticPr fontId="1" type="noConversion"/>
  </si>
  <si>
    <t>RECOVERY</t>
    <phoneticPr fontId="1" type="noConversion"/>
  </si>
  <si>
    <t>isaVolatile</t>
    <phoneticPr fontId="1" type="noConversion"/>
  </si>
  <si>
    <t>Thorn</t>
    <phoneticPr fontId="1" type="noConversion"/>
  </si>
  <si>
    <t>가시</t>
    <phoneticPr fontId="1" type="noConversion"/>
  </si>
  <si>
    <t>라운드 종료 시 {0}만큼 피해</t>
    <phoneticPr fontId="1" type="noConversion"/>
  </si>
  <si>
    <t>Take {0} damage on round end</t>
    <phoneticPr fontId="1" type="noConversion"/>
  </si>
  <si>
    <t>Negative</t>
    <phoneticPr fontId="1" type="noConversion"/>
  </si>
  <si>
    <t>penModifier</t>
    <phoneticPr fontId="1" type="noConversion"/>
  </si>
  <si>
    <t>enemy_firewall</t>
    <phoneticPr fontId="1" type="noConversion"/>
  </si>
  <si>
    <t>modules</t>
    <phoneticPr fontId="1" type="noConversion"/>
  </si>
  <si>
    <t>프로브</t>
    <phoneticPr fontId="1" type="noConversion"/>
  </si>
  <si>
    <t>PROBE</t>
    <phoneticPr fontId="1" type="noConversion"/>
  </si>
  <si>
    <t>cmd_ping</t>
  </si>
  <si>
    <t>cmd_inject</t>
  </si>
  <si>
    <t>cmd_snipe</t>
  </si>
  <si>
    <t>cmd_bruteforce</t>
  </si>
  <si>
    <t>cmd_ddos</t>
  </si>
  <si>
    <t>cmd_exploit</t>
  </si>
  <si>
    <t>cmd_fragment</t>
  </si>
  <si>
    <t>cmd_rootkit</t>
  </si>
  <si>
    <t>cmd_spoofing</t>
  </si>
  <si>
    <t>cmd_corrupted</t>
  </si>
  <si>
    <t>cmd_scan</t>
  </si>
  <si>
    <t>cmd_firewall</t>
  </si>
  <si>
    <t>cmd_overclock</t>
  </si>
  <si>
    <t>cmd_cookie</t>
  </si>
  <si>
    <t>cmd_reboot</t>
  </si>
  <si>
    <t>cmd_scramble</t>
  </si>
  <si>
    <t>cmd_snooping</t>
  </si>
  <si>
    <t>스캐너</t>
    <phoneticPr fontId="1" type="noConversion"/>
  </si>
  <si>
    <t>SCANNER</t>
    <phoneticPr fontId="1" type="noConversion"/>
  </si>
  <si>
    <t>파이어월</t>
    <phoneticPr fontId="1" type="noConversion"/>
  </si>
  <si>
    <t>부스터</t>
    <phoneticPr fontId="1" type="noConversion"/>
  </si>
  <si>
    <t>BOOSTER</t>
    <phoneticPr fontId="1" type="noConversion"/>
  </si>
  <si>
    <t>재생</t>
    <phoneticPr fontId="1" type="noConversion"/>
  </si>
  <si>
    <t>재머</t>
    <phoneticPr fontId="1" type="noConversion"/>
  </si>
  <si>
    <t>JAMMER</t>
    <phoneticPr fontId="1" type="noConversion"/>
  </si>
  <si>
    <t>트레이서</t>
    <phoneticPr fontId="1" type="noConversion"/>
  </si>
  <si>
    <t>TRACER</t>
    <phoneticPr fontId="1" type="noConversion"/>
  </si>
  <si>
    <t>인젝터</t>
    <phoneticPr fontId="1" type="noConversion"/>
  </si>
  <si>
    <t>INJECTOR</t>
    <phoneticPr fontId="1" type="noConversion"/>
  </si>
  <si>
    <t>스나이퍼</t>
    <phoneticPr fontId="1" type="noConversion"/>
  </si>
  <si>
    <t>SNIPER</t>
    <phoneticPr fontId="1" type="noConversion"/>
  </si>
  <si>
    <t>크래커</t>
    <phoneticPr fontId="1" type="noConversion"/>
  </si>
  <si>
    <t>CRACKER</t>
    <phoneticPr fontId="1" type="noConversion"/>
  </si>
  <si>
    <t>봇넷</t>
    <phoneticPr fontId="1" type="noConversion"/>
  </si>
  <si>
    <t>BOTNET</t>
    <phoneticPr fontId="1" type="noConversion"/>
  </si>
  <si>
    <t>제로데이</t>
    <phoneticPr fontId="1" type="noConversion"/>
  </si>
  <si>
    <t>ZERO-DAY</t>
    <phoneticPr fontId="1" type="noConversion"/>
  </si>
  <si>
    <t>클러스터</t>
    <phoneticPr fontId="1" type="noConversion"/>
  </si>
  <si>
    <t>CLUSTER</t>
    <phoneticPr fontId="1" type="noConversion"/>
  </si>
  <si>
    <t>랜섬</t>
    <phoneticPr fontId="1" type="noConversion"/>
  </si>
  <si>
    <t>RANSOM</t>
    <phoneticPr fontId="1" type="noConversion"/>
  </si>
  <si>
    <t>스푸퍼</t>
    <phoneticPr fontId="1" type="noConversion"/>
  </si>
  <si>
    <t>SPOOFER</t>
    <phoneticPr fontId="1" type="noConversion"/>
  </si>
  <si>
    <t>코럽터</t>
    <phoneticPr fontId="1" type="noConversion"/>
  </si>
  <si>
    <t>CORRUPTER</t>
    <phoneticPr fontId="1" type="noConversion"/>
  </si>
  <si>
    <t>rarity</t>
    <phoneticPr fontId="1" type="noConversion"/>
  </si>
  <si>
    <t>Common</t>
    <phoneticPr fontId="1" type="noConversion"/>
  </si>
  <si>
    <t>Uncommon</t>
    <phoneticPr fontId="1" type="noConversion"/>
  </si>
  <si>
    <t>Rarity</t>
    <phoneticPr fontId="1" type="noConversion"/>
  </si>
  <si>
    <t>_memo</t>
    <phoneticPr fontId="1" type="noConversion"/>
  </si>
  <si>
    <t>module</t>
    <phoneticPr fontId="1" type="noConversion"/>
  </si>
  <si>
    <t>mod_probe</t>
  </si>
  <si>
    <t>mod_injector</t>
  </si>
  <si>
    <t>mod_sniper</t>
  </si>
  <si>
    <t>mod_cracker</t>
  </si>
  <si>
    <t>mod_scanner</t>
  </si>
  <si>
    <t>mod_firewall</t>
  </si>
  <si>
    <t>mod_booster</t>
  </si>
  <si>
    <t>mod_cache</t>
  </si>
  <si>
    <t>proc_ghost</t>
    <phoneticPr fontId="1" type="noConversion"/>
  </si>
  <si>
    <t>proc_daemon</t>
    <phoneticPr fontId="1" type="noConversion"/>
  </si>
  <si>
    <t>proc_proxy</t>
    <phoneticPr fontId="1" type="noConversion"/>
  </si>
  <si>
    <t>enemies</t>
    <phoneticPr fontId="1" type="noConversion"/>
  </si>
  <si>
    <t>roundLimit</t>
    <phoneticPr fontId="1" type="noConversion"/>
  </si>
  <si>
    <t>enemy_rootkit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</si>
</sst>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6E03-FFCA-45AE-90F7-94E8D1E45A6B}">
  <sheetPr codeName="Sheet1"/>
  <dimension ref="A1:E4"/>
  <sheetViews>
    <sheetView workbookViewId="0">
      <selection activeCell="F1" sqref="F1"/>
    </sheetView>
  </sheetViews>
  <sheetFormatPr defaultRowHeight="16.5" x14ac:dyDescent="0.3"/>
  <cols>
    <col min="1" max="1" width="14" bestFit="1" customWidth="1"/>
    <col min="3" max="3" width="9.75" bestFit="1" customWidth="1"/>
    <col min="4" max="4" width="19" bestFit="1" customWidth="1"/>
    <col min="5" max="5" width="17.375" bestFit="1" customWidth="1"/>
    <col min="6" max="6" width="22.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43</v>
      </c>
    </row>
    <row r="2" spans="1:5" x14ac:dyDescent="0.3">
      <c r="A2" t="s">
        <v>270</v>
      </c>
      <c r="B2" t="s">
        <v>4</v>
      </c>
      <c r="C2" t="s">
        <v>5</v>
      </c>
      <c r="D2">
        <v>50</v>
      </c>
      <c r="E2">
        <v>5</v>
      </c>
    </row>
    <row r="3" spans="1:5" x14ac:dyDescent="0.3">
      <c r="A3" t="s">
        <v>271</v>
      </c>
      <c r="B3" t="s">
        <v>6</v>
      </c>
      <c r="C3" t="s">
        <v>7</v>
      </c>
      <c r="D3">
        <v>35</v>
      </c>
      <c r="E3">
        <v>8</v>
      </c>
    </row>
    <row r="4" spans="1:5" x14ac:dyDescent="0.3">
      <c r="A4" t="s">
        <v>272</v>
      </c>
      <c r="B4" t="s">
        <v>8</v>
      </c>
      <c r="C4" t="s">
        <v>9</v>
      </c>
      <c r="D4">
        <v>65</v>
      </c>
      <c r="E4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FB5F-6973-44AD-B13B-64C591E0B24C}">
  <sheetPr codeName="Sheet2"/>
  <dimension ref="A1:G3"/>
  <sheetViews>
    <sheetView workbookViewId="0">
      <selection activeCell="E10" sqref="E10"/>
    </sheetView>
  </sheetViews>
  <sheetFormatPr defaultRowHeight="16.5" x14ac:dyDescent="0.3"/>
  <cols>
    <col min="1" max="1" width="14.375" bestFit="1" customWidth="1"/>
    <col min="4" max="4" width="19" bestFit="1" customWidth="1"/>
    <col min="5" max="5" width="13.875" bestFit="1" customWidth="1"/>
    <col min="6" max="6" width="14.625" bestFit="1" customWidth="1"/>
    <col min="7" max="7" width="14.125" bestFit="1" customWidth="1"/>
  </cols>
  <sheetData>
    <row r="1" spans="1:7" x14ac:dyDescent="0.3">
      <c r="A1" t="s">
        <v>10</v>
      </c>
      <c r="B1" t="s">
        <v>11</v>
      </c>
      <c r="C1" t="s">
        <v>12</v>
      </c>
      <c r="D1" t="s">
        <v>3</v>
      </c>
      <c r="E1" t="s">
        <v>43</v>
      </c>
      <c r="F1" t="s">
        <v>208</v>
      </c>
      <c r="G1" t="s">
        <v>160</v>
      </c>
    </row>
    <row r="2" spans="1:7" x14ac:dyDescent="0.3">
      <c r="A2" t="s">
        <v>207</v>
      </c>
      <c r="B2" t="s">
        <v>103</v>
      </c>
      <c r="C2" t="s">
        <v>17</v>
      </c>
      <c r="D2">
        <v>60</v>
      </c>
      <c r="E2">
        <v>2</v>
      </c>
      <c r="F2" t="s">
        <v>20</v>
      </c>
      <c r="G2" t="s">
        <v>32</v>
      </c>
    </row>
    <row r="3" spans="1:7" x14ac:dyDescent="0.3">
      <c r="F3" t="s">
        <v>154</v>
      </c>
      <c r="G3" t="s">
        <v>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AEF26-0D90-448A-9BC7-C39FBEE331CF}">
  <sheetPr codeName="Sheet3"/>
  <dimension ref="A1:M19"/>
  <sheetViews>
    <sheetView workbookViewId="0">
      <selection activeCell="C2" sqref="C2"/>
    </sheetView>
  </sheetViews>
  <sheetFormatPr defaultRowHeight="16.5" x14ac:dyDescent="0.3"/>
  <cols>
    <col min="1" max="1" width="16.75" bestFit="1" customWidth="1"/>
    <col min="2" max="2" width="11.625" bestFit="1" customWidth="1"/>
    <col min="3" max="3" width="38.375" bestFit="1" customWidth="1"/>
    <col min="4" max="4" width="19.5" bestFit="1" customWidth="1"/>
    <col min="5" max="5" width="42.5" bestFit="1" customWidth="1"/>
    <col min="7" max="7" width="10.125" bestFit="1" customWidth="1"/>
    <col min="8" max="8" width="10.375" bestFit="1" customWidth="1"/>
    <col min="10" max="10" width="12.25" bestFit="1" customWidth="1"/>
    <col min="11" max="11" width="12.125" bestFit="1" customWidth="1"/>
    <col min="12" max="12" width="15.875" bestFit="1" customWidth="1"/>
    <col min="13" max="13" width="25.375" bestFit="1" customWidth="1"/>
  </cols>
  <sheetData>
    <row r="1" spans="1:13" x14ac:dyDescent="0.3">
      <c r="A1" t="s">
        <v>10</v>
      </c>
      <c r="B1" t="s">
        <v>11</v>
      </c>
      <c r="C1" t="s">
        <v>30</v>
      </c>
      <c r="D1" t="s">
        <v>12</v>
      </c>
      <c r="E1" t="s">
        <v>31</v>
      </c>
      <c r="F1" t="s">
        <v>13</v>
      </c>
      <c r="G1" t="s">
        <v>22</v>
      </c>
      <c r="H1" t="s">
        <v>23</v>
      </c>
      <c r="I1" t="s">
        <v>24</v>
      </c>
      <c r="J1" t="s">
        <v>206</v>
      </c>
      <c r="K1" t="s">
        <v>42</v>
      </c>
      <c r="L1" t="s">
        <v>25</v>
      </c>
      <c r="M1" t="s">
        <v>26</v>
      </c>
    </row>
    <row r="2" spans="1:13" s="1" customFormat="1" x14ac:dyDescent="0.3">
      <c r="A2" s="1" t="s">
        <v>35</v>
      </c>
      <c r="B2" s="1" t="s">
        <v>36</v>
      </c>
      <c r="D2" s="1" t="s">
        <v>37</v>
      </c>
      <c r="F2" s="1" t="s">
        <v>38</v>
      </c>
      <c r="G2" s="1">
        <v>0</v>
      </c>
      <c r="H2" s="1">
        <v>1</v>
      </c>
      <c r="I2" s="1">
        <v>1</v>
      </c>
      <c r="J2" s="1">
        <v>0</v>
      </c>
      <c r="K2" s="1">
        <v>5</v>
      </c>
      <c r="L2" s="1">
        <v>1.5</v>
      </c>
    </row>
    <row r="3" spans="1:13" s="2" customFormat="1" x14ac:dyDescent="0.3">
      <c r="A3" s="2" t="s">
        <v>39</v>
      </c>
      <c r="B3" s="2" t="s">
        <v>40</v>
      </c>
      <c r="C3" s="2" t="s">
        <v>116</v>
      </c>
      <c r="D3" s="2" t="s">
        <v>41</v>
      </c>
      <c r="E3" s="2" t="s">
        <v>189</v>
      </c>
      <c r="F3" s="2" t="s">
        <v>101</v>
      </c>
      <c r="I3" s="2">
        <v>1</v>
      </c>
      <c r="M3" s="2" t="s">
        <v>178</v>
      </c>
    </row>
    <row r="4" spans="1:13" s="1" customFormat="1" x14ac:dyDescent="0.3">
      <c r="A4" s="1" t="s">
        <v>154</v>
      </c>
      <c r="B4" s="1" t="s">
        <v>155</v>
      </c>
      <c r="D4" s="1" t="s">
        <v>156</v>
      </c>
      <c r="F4" s="1" t="s">
        <v>38</v>
      </c>
      <c r="G4" s="1">
        <v>0</v>
      </c>
      <c r="H4" s="1">
        <v>2</v>
      </c>
      <c r="I4" s="1">
        <v>2</v>
      </c>
      <c r="K4" s="1">
        <v>8</v>
      </c>
      <c r="L4" s="1">
        <v>1.5</v>
      </c>
    </row>
    <row r="5" spans="1:13" s="1" customFormat="1" x14ac:dyDescent="0.3">
      <c r="A5" s="1" t="s">
        <v>18</v>
      </c>
      <c r="B5" s="1" t="s">
        <v>100</v>
      </c>
      <c r="D5" s="1" t="s">
        <v>99</v>
      </c>
      <c r="F5" s="1" t="s">
        <v>38</v>
      </c>
      <c r="G5" s="1">
        <v>0</v>
      </c>
      <c r="H5" s="1">
        <v>1</v>
      </c>
      <c r="I5" s="1">
        <v>3</v>
      </c>
      <c r="J5" s="1">
        <v>0</v>
      </c>
      <c r="K5" s="1">
        <v>15</v>
      </c>
      <c r="L5" s="1">
        <v>1.5</v>
      </c>
    </row>
    <row r="6" spans="1:13" s="1" customFormat="1" x14ac:dyDescent="0.3">
      <c r="A6" s="1" t="s">
        <v>21</v>
      </c>
      <c r="B6" s="1" t="s">
        <v>102</v>
      </c>
      <c r="D6" s="1" t="s">
        <v>105</v>
      </c>
      <c r="F6" s="1" t="s">
        <v>38</v>
      </c>
      <c r="G6" s="1">
        <v>1</v>
      </c>
      <c r="H6" s="1">
        <v>3</v>
      </c>
      <c r="I6" s="1">
        <v>4</v>
      </c>
      <c r="J6" s="1">
        <v>0</v>
      </c>
      <c r="K6" s="1">
        <v>12</v>
      </c>
      <c r="L6" s="1">
        <v>2</v>
      </c>
    </row>
    <row r="7" spans="1:13" s="1" customFormat="1" x14ac:dyDescent="0.3">
      <c r="A7" s="1" t="s">
        <v>117</v>
      </c>
      <c r="B7" s="1" t="s">
        <v>118</v>
      </c>
      <c r="D7" s="1" t="s">
        <v>119</v>
      </c>
      <c r="F7" s="1" t="s">
        <v>38</v>
      </c>
      <c r="G7" s="1">
        <v>0</v>
      </c>
      <c r="H7" s="1">
        <v>1</v>
      </c>
      <c r="I7" s="1">
        <v>5</v>
      </c>
      <c r="J7" s="1">
        <v>0</v>
      </c>
      <c r="K7" s="1">
        <v>25</v>
      </c>
      <c r="L7" s="1">
        <v>1.5</v>
      </c>
    </row>
    <row r="8" spans="1:13" s="1" customFormat="1" x14ac:dyDescent="0.3">
      <c r="A8" s="1" t="s">
        <v>120</v>
      </c>
      <c r="B8" s="1" t="s">
        <v>121</v>
      </c>
      <c r="C8" s="1" t="s">
        <v>141</v>
      </c>
      <c r="D8" s="1" t="s">
        <v>122</v>
      </c>
      <c r="E8" s="1" t="s">
        <v>194</v>
      </c>
      <c r="F8" s="1" t="s">
        <v>38</v>
      </c>
      <c r="G8" s="1">
        <v>1</v>
      </c>
      <c r="H8" s="1">
        <v>4</v>
      </c>
      <c r="I8" s="1">
        <v>5</v>
      </c>
      <c r="J8" s="1">
        <v>0</v>
      </c>
      <c r="K8" s="1">
        <v>12</v>
      </c>
      <c r="L8" s="1">
        <v>1.8</v>
      </c>
      <c r="M8" s="1" t="s">
        <v>174</v>
      </c>
    </row>
    <row r="9" spans="1:13" s="1" customFormat="1" x14ac:dyDescent="0.3">
      <c r="A9" s="1" t="s">
        <v>124</v>
      </c>
      <c r="B9" s="1" t="s">
        <v>128</v>
      </c>
      <c r="D9" s="1" t="s">
        <v>123</v>
      </c>
      <c r="F9" s="1" t="s">
        <v>38</v>
      </c>
      <c r="I9" s="1">
        <v>4</v>
      </c>
      <c r="J9" s="1">
        <v>0</v>
      </c>
      <c r="L9" s="1">
        <v>2</v>
      </c>
    </row>
    <row r="10" spans="1:13" s="1" customFormat="1" x14ac:dyDescent="0.3">
      <c r="A10" s="1" t="s">
        <v>125</v>
      </c>
      <c r="B10" s="1" t="s">
        <v>127</v>
      </c>
      <c r="C10" s="1" t="s">
        <v>142</v>
      </c>
      <c r="D10" s="1" t="s">
        <v>126</v>
      </c>
      <c r="E10" s="1" t="s">
        <v>193</v>
      </c>
      <c r="F10" s="1" t="s">
        <v>38</v>
      </c>
      <c r="G10" s="1">
        <v>0</v>
      </c>
      <c r="H10" s="1">
        <v>2</v>
      </c>
      <c r="I10" s="1">
        <v>4</v>
      </c>
      <c r="J10" s="1">
        <v>7</v>
      </c>
      <c r="K10" s="1">
        <v>6</v>
      </c>
      <c r="L10" s="1">
        <v>1.3</v>
      </c>
      <c r="M10" s="1" t="s">
        <v>175</v>
      </c>
    </row>
    <row r="11" spans="1:13" s="1" customFormat="1" x14ac:dyDescent="0.3">
      <c r="A11" s="1" t="s">
        <v>143</v>
      </c>
      <c r="B11" s="1" t="s">
        <v>144</v>
      </c>
      <c r="C11" s="1" t="s">
        <v>146</v>
      </c>
      <c r="D11" s="1" t="s">
        <v>145</v>
      </c>
      <c r="E11" s="1" t="s">
        <v>192</v>
      </c>
      <c r="F11" s="1" t="s">
        <v>38</v>
      </c>
      <c r="G11" s="1">
        <v>0</v>
      </c>
      <c r="H11" s="1">
        <v>1</v>
      </c>
      <c r="I11" s="1">
        <v>3</v>
      </c>
      <c r="J11" s="1">
        <v>0</v>
      </c>
      <c r="K11" s="1">
        <v>10</v>
      </c>
      <c r="L11" s="1">
        <v>1.5</v>
      </c>
      <c r="M11" s="1" t="s">
        <v>176</v>
      </c>
    </row>
    <row r="12" spans="1:13" s="1" customFormat="1" x14ac:dyDescent="0.3">
      <c r="A12" s="1" t="s">
        <v>147</v>
      </c>
      <c r="B12" s="1" t="s">
        <v>148</v>
      </c>
      <c r="C12" s="1" t="s">
        <v>149</v>
      </c>
      <c r="D12" s="1" t="s">
        <v>150</v>
      </c>
      <c r="E12" s="1" t="s">
        <v>191</v>
      </c>
      <c r="F12" s="1" t="s">
        <v>38</v>
      </c>
      <c r="G12" s="1">
        <v>0</v>
      </c>
      <c r="H12" s="1">
        <v>2</v>
      </c>
      <c r="I12" s="1">
        <v>4</v>
      </c>
      <c r="J12" s="1">
        <v>0</v>
      </c>
      <c r="K12" s="1">
        <v>20</v>
      </c>
      <c r="L12" s="1">
        <v>2</v>
      </c>
      <c r="M12" s="1" t="s">
        <v>177</v>
      </c>
    </row>
    <row r="13" spans="1:13" s="1" customFormat="1" x14ac:dyDescent="0.3">
      <c r="A13" s="1" t="s">
        <v>153</v>
      </c>
      <c r="B13" s="1" t="s">
        <v>151</v>
      </c>
      <c r="D13" s="1" t="s">
        <v>152</v>
      </c>
      <c r="F13" s="1" t="s">
        <v>38</v>
      </c>
      <c r="G13" s="1">
        <v>1</v>
      </c>
      <c r="H13" s="1">
        <v>4</v>
      </c>
      <c r="I13" s="1">
        <v>3</v>
      </c>
      <c r="J13" s="1">
        <v>0</v>
      </c>
      <c r="K13" s="1">
        <v>10</v>
      </c>
      <c r="L13" s="1">
        <v>1.8</v>
      </c>
    </row>
    <row r="14" spans="1:13" s="2" customFormat="1" x14ac:dyDescent="0.3">
      <c r="A14" s="2" t="s">
        <v>20</v>
      </c>
      <c r="B14" s="2" t="s">
        <v>103</v>
      </c>
      <c r="C14" s="2" t="s">
        <v>109</v>
      </c>
      <c r="D14" s="2" t="s">
        <v>106</v>
      </c>
      <c r="E14" s="2" t="s">
        <v>190</v>
      </c>
      <c r="F14" s="2" t="s">
        <v>101</v>
      </c>
      <c r="I14" s="2">
        <v>2</v>
      </c>
      <c r="M14" s="2" t="s">
        <v>179</v>
      </c>
    </row>
    <row r="15" spans="1:13" s="2" customFormat="1" x14ac:dyDescent="0.3">
      <c r="A15" s="2" t="s">
        <v>19</v>
      </c>
      <c r="B15" s="2" t="s">
        <v>104</v>
      </c>
      <c r="C15" s="2" t="s">
        <v>108</v>
      </c>
      <c r="D15" s="2" t="s">
        <v>107</v>
      </c>
      <c r="E15" s="2" t="s">
        <v>188</v>
      </c>
      <c r="F15" s="2" t="s">
        <v>101</v>
      </c>
      <c r="I15" s="2">
        <v>2</v>
      </c>
      <c r="M15" s="2" t="s">
        <v>180</v>
      </c>
    </row>
    <row r="16" spans="1:13" s="2" customFormat="1" x14ac:dyDescent="0.3">
      <c r="A16" s="2" t="s">
        <v>129</v>
      </c>
      <c r="B16" s="2" t="s">
        <v>130</v>
      </c>
      <c r="C16" s="2" t="s">
        <v>132</v>
      </c>
      <c r="D16" s="2" t="s">
        <v>131</v>
      </c>
      <c r="E16" s="2" t="s">
        <v>187</v>
      </c>
      <c r="F16" s="2" t="s">
        <v>101</v>
      </c>
      <c r="I16" s="2">
        <v>2</v>
      </c>
      <c r="M16" s="2" t="s">
        <v>181</v>
      </c>
    </row>
    <row r="17" spans="1:13" s="2" customFormat="1" x14ac:dyDescent="0.3">
      <c r="A17" s="2" t="s">
        <v>133</v>
      </c>
      <c r="B17" s="2" t="s">
        <v>134</v>
      </c>
      <c r="C17" s="2" t="s">
        <v>136</v>
      </c>
      <c r="D17" s="2" t="s">
        <v>135</v>
      </c>
      <c r="E17" s="2" t="s">
        <v>186</v>
      </c>
      <c r="F17" s="2" t="s">
        <v>101</v>
      </c>
      <c r="I17" s="2">
        <v>3</v>
      </c>
      <c r="M17" s="2" t="s">
        <v>182</v>
      </c>
    </row>
    <row r="18" spans="1:13" s="2" customFormat="1" x14ac:dyDescent="0.3">
      <c r="A18" s="2" t="s">
        <v>137</v>
      </c>
      <c r="B18" s="2" t="s">
        <v>138</v>
      </c>
      <c r="C18" s="2" t="s">
        <v>139</v>
      </c>
      <c r="D18" s="2" t="s">
        <v>140</v>
      </c>
      <c r="E18" s="2" t="s">
        <v>185</v>
      </c>
      <c r="F18" s="2" t="s">
        <v>101</v>
      </c>
      <c r="I18" s="2">
        <v>2</v>
      </c>
      <c r="M18" s="2" t="s">
        <v>183</v>
      </c>
    </row>
    <row r="19" spans="1:13" s="2" customFormat="1" x14ac:dyDescent="0.3">
      <c r="A19" s="2" t="s">
        <v>157</v>
      </c>
      <c r="B19" s="2" t="s">
        <v>158</v>
      </c>
      <c r="C19" s="2" t="s">
        <v>196</v>
      </c>
      <c r="D19" s="2" t="s">
        <v>159</v>
      </c>
      <c r="E19" s="2" t="s">
        <v>195</v>
      </c>
      <c r="F19" s="2" t="s">
        <v>101</v>
      </c>
      <c r="I19" s="2">
        <v>1</v>
      </c>
      <c r="M19" s="2" t="s">
        <v>184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54621-1DFA-4FC9-A3C2-050F3E15B1C6}">
  <sheetPr codeName="Sheet4"/>
  <dimension ref="A1:I19"/>
  <sheetViews>
    <sheetView workbookViewId="0">
      <selection activeCell="A13" sqref="A13:A16"/>
    </sheetView>
  </sheetViews>
  <sheetFormatPr defaultRowHeight="16.5" x14ac:dyDescent="0.3"/>
  <cols>
    <col min="1" max="1" width="16.25" customWidth="1"/>
    <col min="2" max="2" width="18.125" customWidth="1"/>
    <col min="3" max="3" width="13" customWidth="1"/>
    <col min="4" max="4" width="8.75" bestFit="1" customWidth="1"/>
    <col min="5" max="5" width="14.125" bestFit="1" customWidth="1"/>
    <col min="6" max="6" width="17.375" bestFit="1" customWidth="1"/>
    <col min="7" max="7" width="24.5" customWidth="1"/>
    <col min="8" max="8" width="11.625" bestFit="1" customWidth="1"/>
    <col min="9" max="9" width="41.625" bestFit="1" customWidth="1"/>
  </cols>
  <sheetData>
    <row r="1" spans="1:9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43</v>
      </c>
      <c r="G1" t="s">
        <v>15</v>
      </c>
      <c r="H1" t="s">
        <v>256</v>
      </c>
      <c r="I1" t="s">
        <v>260</v>
      </c>
    </row>
    <row r="2" spans="1:9" x14ac:dyDescent="0.3">
      <c r="A2" t="str">
        <f>"mod_"&amp;LOWER(C2)</f>
        <v>mod_probe</v>
      </c>
      <c r="B2" t="s">
        <v>209</v>
      </c>
      <c r="C2" t="s">
        <v>210</v>
      </c>
      <c r="D2" t="s">
        <v>16</v>
      </c>
      <c r="E2">
        <v>7</v>
      </c>
      <c r="F2">
        <v>1</v>
      </c>
      <c r="G2" t="s">
        <v>211</v>
      </c>
      <c r="H2" t="s">
        <v>257</v>
      </c>
      <c r="I2" t="str">
        <f>_xlfn.LET(_xlpm.result,VLOOKUP(G2,CommandData!$A:$Z,MATCH("descKo",CommandData!$1:$1,0),FALSE),IF(_xlpm.result="","",_xlpm.result))</f>
        <v/>
      </c>
    </row>
    <row r="3" spans="1:9" x14ac:dyDescent="0.3">
      <c r="A3" t="str">
        <f>"mod_"&amp;LOWER(C3)</f>
        <v>mod_injector</v>
      </c>
      <c r="B3" t="s">
        <v>238</v>
      </c>
      <c r="C3" t="s">
        <v>239</v>
      </c>
      <c r="D3" t="s">
        <v>16</v>
      </c>
      <c r="E3">
        <v>5</v>
      </c>
      <c r="F3">
        <v>3</v>
      </c>
      <c r="G3" t="s">
        <v>212</v>
      </c>
      <c r="H3" t="s">
        <v>257</v>
      </c>
      <c r="I3" t="str">
        <f>_xlfn.LET(_xlpm.result,VLOOKUP(G3,CommandData!$A:$Z,MATCH("descKo",CommandData!$1:$1,0),FALSE),IF(_xlpm.result="","",_xlpm.result))</f>
        <v/>
      </c>
    </row>
    <row r="4" spans="1:9" x14ac:dyDescent="0.3">
      <c r="A4" t="str">
        <f t="shared" ref="A4:A18" si="0">"mod_"&amp;LOWER(C4)</f>
        <v>mod_sniper</v>
      </c>
      <c r="B4" t="s">
        <v>240</v>
      </c>
      <c r="C4" t="s">
        <v>241</v>
      </c>
      <c r="D4" t="s">
        <v>16</v>
      </c>
      <c r="E4">
        <v>9</v>
      </c>
      <c r="F4">
        <v>2</v>
      </c>
      <c r="G4" t="s">
        <v>213</v>
      </c>
      <c r="H4" t="s">
        <v>257</v>
      </c>
      <c r="I4" t="str">
        <f>_xlfn.LET(_xlpm.result,VLOOKUP(G4,CommandData!$A:$Z,MATCH("descKo",CommandData!$1:$1,0),FALSE),IF(_xlpm.result="","",_xlpm.result))</f>
        <v/>
      </c>
    </row>
    <row r="5" spans="1:9" x14ac:dyDescent="0.3">
      <c r="A5" t="str">
        <f t="shared" si="0"/>
        <v>mod_cracker</v>
      </c>
      <c r="B5" t="s">
        <v>242</v>
      </c>
      <c r="C5" t="s">
        <v>243</v>
      </c>
      <c r="D5" t="s">
        <v>16</v>
      </c>
      <c r="E5">
        <v>5</v>
      </c>
      <c r="F5">
        <v>3</v>
      </c>
      <c r="G5" t="s">
        <v>214</v>
      </c>
      <c r="H5" t="s">
        <v>257</v>
      </c>
      <c r="I5" t="str">
        <f>_xlfn.LET(_xlpm.result,VLOOKUP(G5,CommandData!$A:$Z,MATCH("descKo",CommandData!$1:$1,0),FALSE),IF(_xlpm.result="","",_xlpm.result))</f>
        <v/>
      </c>
    </row>
    <row r="6" spans="1:9" x14ac:dyDescent="0.3">
      <c r="A6" t="str">
        <f>"mod_"&amp;LOWER(C6)</f>
        <v>mod_ransom</v>
      </c>
      <c r="B6" t="s">
        <v>250</v>
      </c>
      <c r="C6" t="s">
        <v>251</v>
      </c>
      <c r="D6" t="s">
        <v>16</v>
      </c>
      <c r="E6">
        <v>5</v>
      </c>
      <c r="F6">
        <v>3</v>
      </c>
      <c r="G6" t="s">
        <v>143</v>
      </c>
      <c r="H6" t="s">
        <v>258</v>
      </c>
      <c r="I6" t="str">
        <f>_xlfn.LET(_xlpm.result,VLOOKUP(G6,CommandData!$A:$Z,MATCH("descKo",CommandData!$1:$1,0),FALSE),IF(_xlpm.result="","",_xlpm.result))</f>
        <v>3턴 동안 라운드 종료 시 5 피해</v>
      </c>
    </row>
    <row r="7" spans="1:9" x14ac:dyDescent="0.3">
      <c r="A7" t="str">
        <f t="shared" si="0"/>
        <v>mod_zero-day</v>
      </c>
      <c r="B7" t="s">
        <v>246</v>
      </c>
      <c r="C7" t="s">
        <v>247</v>
      </c>
      <c r="D7" t="s">
        <v>16</v>
      </c>
      <c r="E7">
        <v>5</v>
      </c>
      <c r="F7">
        <v>3</v>
      </c>
      <c r="G7" t="s">
        <v>216</v>
      </c>
      <c r="H7" t="s">
        <v>258</v>
      </c>
      <c r="I7" t="str">
        <f>_xlfn.LET(_xlpm.result,VLOOKUP(G7,CommandData!$A:$Z,MATCH("descKo",CommandData!$1:$1,0),FALSE),IF(_xlpm.result="","",_xlpm.result))</f>
        <v/>
      </c>
    </row>
    <row r="8" spans="1:9" x14ac:dyDescent="0.3">
      <c r="A8" t="str">
        <f t="shared" si="0"/>
        <v>mod_cluster</v>
      </c>
      <c r="B8" t="s">
        <v>248</v>
      </c>
      <c r="C8" t="s">
        <v>249</v>
      </c>
      <c r="D8" t="s">
        <v>16</v>
      </c>
      <c r="E8">
        <v>7</v>
      </c>
      <c r="F8">
        <v>1</v>
      </c>
      <c r="G8" t="s">
        <v>217</v>
      </c>
      <c r="H8" t="s">
        <v>258</v>
      </c>
      <c r="I8" t="str">
        <f>_xlfn.LET(_xlpm.result,VLOOKUP(G8,CommandData!$A:$Z,MATCH("descKo",CommandData!$1:$1,0),FALSE),IF(_xlpm.result="","",_xlpm.result))</f>
        <v>3회 연속 공격 (단, 각각 명중 판정을 진행함)</v>
      </c>
    </row>
    <row r="9" spans="1:9" x14ac:dyDescent="0.3">
      <c r="A9" t="str">
        <f>"mod_"&amp;LOWER(C9)</f>
        <v>mod_botnet</v>
      </c>
      <c r="B9" t="s">
        <v>244</v>
      </c>
      <c r="C9" t="s">
        <v>245</v>
      </c>
      <c r="D9" t="s">
        <v>16</v>
      </c>
      <c r="E9">
        <v>5</v>
      </c>
      <c r="F9">
        <v>3</v>
      </c>
      <c r="G9" t="s">
        <v>215</v>
      </c>
      <c r="H9" t="s">
        <v>259</v>
      </c>
      <c r="I9" t="str">
        <f>_xlfn.LET(_xlpm.result,VLOOKUP(G9,CommandData!$A:$Z,MATCH("descKo",CommandData!$1:$1,0),FALSE),IF(_xlpm.result="","",_xlpm.result))</f>
        <v>적 다음 라운드 클록 2 감소</v>
      </c>
    </row>
    <row r="10" spans="1:9" x14ac:dyDescent="0.3">
      <c r="A10" t="str">
        <f t="shared" si="0"/>
        <v>mod_rootkit</v>
      </c>
      <c r="B10" t="s">
        <v>148</v>
      </c>
      <c r="C10" t="s">
        <v>150</v>
      </c>
      <c r="D10" t="s">
        <v>16</v>
      </c>
      <c r="E10">
        <v>5</v>
      </c>
      <c r="F10">
        <v>3</v>
      </c>
      <c r="G10" t="s">
        <v>218</v>
      </c>
      <c r="H10" t="s">
        <v>259</v>
      </c>
      <c r="I10" t="str">
        <f>_xlfn.LET(_xlpm.result,VLOOKUP(G10,CommandData!$A:$Z,MATCH("descKo",CommandData!$1:$1,0),FALSE),IF(_xlpm.result="","",_xlpm.result))</f>
        <v>명중이 실패해도 5 피해</v>
      </c>
    </row>
    <row r="11" spans="1:9" x14ac:dyDescent="0.3">
      <c r="A11" t="str">
        <f t="shared" si="0"/>
        <v>mod_spoofer</v>
      </c>
      <c r="B11" t="s">
        <v>252</v>
      </c>
      <c r="C11" t="s">
        <v>253</v>
      </c>
      <c r="D11" t="s">
        <v>16</v>
      </c>
      <c r="E11">
        <v>9</v>
      </c>
      <c r="F11">
        <v>2</v>
      </c>
      <c r="G11" t="s">
        <v>219</v>
      </c>
      <c r="H11" t="s">
        <v>259</v>
      </c>
      <c r="I11" t="str">
        <f>_xlfn.LET(_xlpm.result,VLOOKUP(G11,CommandData!$A:$Z,MATCH("descKo",CommandData!$1:$1,0),FALSE),IF(_xlpm.result="","",_xlpm.result))</f>
        <v/>
      </c>
    </row>
    <row r="12" spans="1:9" x14ac:dyDescent="0.3">
      <c r="A12" t="str">
        <f t="shared" si="0"/>
        <v>mod_corrupter</v>
      </c>
      <c r="B12" t="s">
        <v>254</v>
      </c>
      <c r="C12" t="s">
        <v>255</v>
      </c>
      <c r="D12" t="s">
        <v>16</v>
      </c>
      <c r="E12">
        <v>12</v>
      </c>
      <c r="F12">
        <v>0</v>
      </c>
      <c r="G12" t="s">
        <v>220</v>
      </c>
      <c r="H12" t="s">
        <v>259</v>
      </c>
      <c r="I12" t="str">
        <f>_xlfn.LET(_xlpm.result,VLOOKUP(G12,CommandData!$A:$Z,MATCH("descKo",CommandData!$1:$1,0),FALSE),IF(_xlpm.result="","",_xlpm.result))</f>
        <v/>
      </c>
    </row>
    <row r="13" spans="1:9" x14ac:dyDescent="0.3">
      <c r="A13" t="str">
        <f t="shared" si="0"/>
        <v>mod_scanner</v>
      </c>
      <c r="B13" t="s">
        <v>228</v>
      </c>
      <c r="C13" t="s">
        <v>229</v>
      </c>
      <c r="D13" t="s">
        <v>17</v>
      </c>
      <c r="E13">
        <v>10</v>
      </c>
      <c r="F13">
        <v>2</v>
      </c>
      <c r="G13" t="s">
        <v>221</v>
      </c>
      <c r="H13" t="s">
        <v>257</v>
      </c>
      <c r="I13" t="str">
        <f>_xlfn.LET(_xlpm.result,VLOOKUP(G13,CommandData!$A:$Z,MATCH("descKo",CommandData!$1:$1,0),FALSE),IF(_xlpm.result="","",_xlpm.result))</f>
        <v>다음 공격의 침투력 1 증가</v>
      </c>
    </row>
    <row r="14" spans="1:9" x14ac:dyDescent="0.3">
      <c r="A14" t="str">
        <f t="shared" si="0"/>
        <v>mod_firewall</v>
      </c>
      <c r="B14" t="s">
        <v>230</v>
      </c>
      <c r="C14" t="s">
        <v>106</v>
      </c>
      <c r="D14" t="s">
        <v>17</v>
      </c>
      <c r="E14">
        <v>30</v>
      </c>
      <c r="F14">
        <v>0</v>
      </c>
      <c r="G14" t="s">
        <v>222</v>
      </c>
      <c r="H14" t="s">
        <v>257</v>
      </c>
      <c r="I14" t="str">
        <f>_xlfn.LET(_xlpm.result,VLOOKUP(G14,CommandData!$A:$Z,MATCH("descKo",CommandData!$1:$1,0),FALSE),IF(_xlpm.result="","",_xlpm.result))</f>
        <v>이번 라운드 피격 시 데미지 5 감소</v>
      </c>
    </row>
    <row r="15" spans="1:9" x14ac:dyDescent="0.3">
      <c r="A15" t="str">
        <f t="shared" si="0"/>
        <v>mod_booster</v>
      </c>
      <c r="B15" t="s">
        <v>231</v>
      </c>
      <c r="C15" t="s">
        <v>232</v>
      </c>
      <c r="D15" t="s">
        <v>17</v>
      </c>
      <c r="E15">
        <v>20</v>
      </c>
      <c r="F15">
        <v>1</v>
      </c>
      <c r="G15" t="s">
        <v>223</v>
      </c>
      <c r="H15" t="s">
        <v>257</v>
      </c>
      <c r="I15" t="str">
        <f>_xlfn.LET(_xlpm.result,VLOOKUP(G15,CommandData!$A:$Z,MATCH("descKo",CommandData!$1:$1,0),FALSE),IF(_xlpm.result="","",_xlpm.result))</f>
        <v>다음 공격 페이로드 5증가</v>
      </c>
    </row>
    <row r="16" spans="1:9" x14ac:dyDescent="0.3">
      <c r="A16" t="str">
        <f t="shared" si="0"/>
        <v>mod_cache</v>
      </c>
      <c r="B16" t="s">
        <v>82</v>
      </c>
      <c r="C16" t="s">
        <v>83</v>
      </c>
      <c r="D16" t="s">
        <v>17</v>
      </c>
      <c r="E16">
        <v>20</v>
      </c>
      <c r="F16">
        <v>1</v>
      </c>
      <c r="G16" t="s">
        <v>224</v>
      </c>
      <c r="H16" t="s">
        <v>257</v>
      </c>
      <c r="I16" t="str">
        <f>_xlfn.LET(_xlpm.result,VLOOKUP(G16,CommandData!$A:$Z,MATCH("descKo",CommandData!$1:$1,0),FALSE),IF(_xlpm.result="","",_xlpm.result))</f>
        <v>남은 클럭을 다음 라운드로 전이 (최대 3)</v>
      </c>
    </row>
    <row r="17" spans="1:9" x14ac:dyDescent="0.3">
      <c r="A17" t="str">
        <f t="shared" si="0"/>
        <v>mod_jammer</v>
      </c>
      <c r="B17" t="s">
        <v>234</v>
      </c>
      <c r="C17" t="s">
        <v>235</v>
      </c>
      <c r="D17" t="s">
        <v>17</v>
      </c>
      <c r="E17">
        <v>20</v>
      </c>
      <c r="F17">
        <v>1</v>
      </c>
      <c r="G17" t="s">
        <v>226</v>
      </c>
      <c r="H17" t="s">
        <v>258</v>
      </c>
      <c r="I17" t="str">
        <f>_xlfn.LET(_xlpm.result,VLOOKUP(G17,CommandData!$A:$Z,MATCH("descKo",CommandData!$1:$1,0),FALSE),IF(_xlpm.result="","",_xlpm.result))</f>
        <v>대상의 다음 공격의 침투력 3 감소</v>
      </c>
    </row>
    <row r="18" spans="1:9" x14ac:dyDescent="0.3">
      <c r="A18" t="str">
        <f t="shared" si="0"/>
        <v>mod_tracer</v>
      </c>
      <c r="B18" t="s">
        <v>236</v>
      </c>
      <c r="C18" t="s">
        <v>237</v>
      </c>
      <c r="D18" t="s">
        <v>17</v>
      </c>
      <c r="E18">
        <v>30</v>
      </c>
      <c r="F18">
        <v>0</v>
      </c>
      <c r="G18" t="s">
        <v>227</v>
      </c>
      <c r="H18" t="s">
        <v>258</v>
      </c>
      <c r="I18" t="str">
        <f>_xlfn.LET(_xlpm.result,VLOOKUP(G18,CommandData!$A:$Z,MATCH("descKo",CommandData!$1:$1,0),FALSE),IF(_xlpm.result="","",_xlpm.result))</f>
        <v>적의 이번 라운드 LAYER 확인</v>
      </c>
    </row>
    <row r="19" spans="1:9" x14ac:dyDescent="0.3">
      <c r="A19" t="str">
        <f>"mod_"&amp;LOWER(C19)</f>
        <v>mod_recovery</v>
      </c>
      <c r="B19" t="s">
        <v>233</v>
      </c>
      <c r="C19" t="s">
        <v>199</v>
      </c>
      <c r="D19" t="s">
        <v>17</v>
      </c>
      <c r="E19">
        <v>15</v>
      </c>
      <c r="F19">
        <v>0</v>
      </c>
      <c r="G19" t="s">
        <v>225</v>
      </c>
      <c r="H19" t="s">
        <v>259</v>
      </c>
      <c r="I19" t="str">
        <f>_xlfn.LET(_xlpm.result,VLOOKUP(G19,CommandData!$A:$Z,MATCH("descKo",CommandData!$1:$1,0),FALSE),IF(_xlpm.result="","",_xlpm.result))</f>
        <v>무결성 20 회복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5B71E-8A71-4E84-8408-61E396BB0009}">
  <sheetPr codeName="Sheet5"/>
  <dimension ref="A1:G2"/>
  <sheetViews>
    <sheetView workbookViewId="0">
      <selection activeCell="H1" sqref="H1:H1048576"/>
    </sheetView>
  </sheetViews>
  <sheetFormatPr defaultRowHeight="16.5" x14ac:dyDescent="0.3"/>
  <cols>
    <col min="3" max="3" width="26.625" bestFit="1" customWidth="1"/>
    <col min="5" max="5" width="30.375" bestFit="1" customWidth="1"/>
    <col min="7" max="7" width="10.25" bestFit="1" customWidth="1"/>
    <col min="8" max="8" width="15.25" bestFit="1" customWidth="1"/>
  </cols>
  <sheetData>
    <row r="1" spans="1:7" x14ac:dyDescent="0.3">
      <c r="A1" t="s">
        <v>10</v>
      </c>
      <c r="B1" t="s">
        <v>11</v>
      </c>
      <c r="C1" t="s">
        <v>30</v>
      </c>
      <c r="D1" t="s">
        <v>12</v>
      </c>
      <c r="E1" t="s">
        <v>31</v>
      </c>
      <c r="F1" t="s">
        <v>13</v>
      </c>
      <c r="G1" t="s">
        <v>200</v>
      </c>
    </row>
    <row r="2" spans="1:7" x14ac:dyDescent="0.3">
      <c r="A2" t="s">
        <v>201</v>
      </c>
      <c r="B2" t="s">
        <v>202</v>
      </c>
      <c r="C2" t="s">
        <v>203</v>
      </c>
      <c r="D2" t="s">
        <v>201</v>
      </c>
      <c r="E2" t="s">
        <v>204</v>
      </c>
      <c r="F2" t="s">
        <v>205</v>
      </c>
      <c r="G2" t="b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E6176-AD3B-41E5-A5CB-62E8B5B28BB6}">
  <sheetPr codeName="Sheet6"/>
  <dimension ref="A1:F15"/>
  <sheetViews>
    <sheetView workbookViewId="0">
      <selection activeCell="C16" sqref="C16"/>
    </sheetView>
  </sheetViews>
  <sheetFormatPr defaultRowHeight="16.5" x14ac:dyDescent="0.3"/>
  <cols>
    <col min="1" max="1" width="23.875" bestFit="1" customWidth="1"/>
    <col min="2" max="2" width="12.75" bestFit="1" customWidth="1"/>
    <col min="3" max="3" width="66.125" bestFit="1" customWidth="1"/>
    <col min="4" max="4" width="18.625" bestFit="1" customWidth="1"/>
    <col min="5" max="5" width="59.625" bestFit="1" customWidth="1"/>
    <col min="6" max="6" width="25.625" bestFit="1" customWidth="1"/>
    <col min="7" max="7" width="17.375" bestFit="1" customWidth="1"/>
    <col min="8" max="8" width="14.375" bestFit="1" customWidth="1"/>
  </cols>
  <sheetData>
    <row r="1" spans="1:6" x14ac:dyDescent="0.3">
      <c r="A1" t="s">
        <v>10</v>
      </c>
      <c r="B1" t="s">
        <v>11</v>
      </c>
      <c r="C1" t="s">
        <v>30</v>
      </c>
      <c r="D1" t="s">
        <v>12</v>
      </c>
      <c r="E1" t="s">
        <v>31</v>
      </c>
      <c r="F1" t="s">
        <v>26</v>
      </c>
    </row>
    <row r="2" spans="1:6" x14ac:dyDescent="0.3">
      <c r="A2" t="s">
        <v>27</v>
      </c>
      <c r="B2" t="s">
        <v>28</v>
      </c>
      <c r="C2" t="s">
        <v>61</v>
      </c>
      <c r="D2" t="s">
        <v>29</v>
      </c>
      <c r="E2" t="s">
        <v>44</v>
      </c>
      <c r="F2" t="s">
        <v>161</v>
      </c>
    </row>
    <row r="3" spans="1:6" x14ac:dyDescent="0.3">
      <c r="A3" t="s">
        <v>32</v>
      </c>
      <c r="B3" t="s">
        <v>33</v>
      </c>
      <c r="C3" t="s">
        <v>52</v>
      </c>
      <c r="D3" t="s">
        <v>34</v>
      </c>
      <c r="E3" t="s">
        <v>48</v>
      </c>
      <c r="F3" t="s">
        <v>162</v>
      </c>
    </row>
    <row r="4" spans="1:6" x14ac:dyDescent="0.3">
      <c r="A4" t="s">
        <v>45</v>
      </c>
      <c r="B4" t="s">
        <v>47</v>
      </c>
      <c r="C4" t="s">
        <v>50</v>
      </c>
      <c r="D4" t="s">
        <v>46</v>
      </c>
      <c r="E4" t="s">
        <v>49</v>
      </c>
      <c r="F4" t="s">
        <v>163</v>
      </c>
    </row>
    <row r="5" spans="1:6" x14ac:dyDescent="0.3">
      <c r="A5" t="s">
        <v>53</v>
      </c>
      <c r="B5" t="s">
        <v>55</v>
      </c>
      <c r="C5" t="s">
        <v>113</v>
      </c>
      <c r="D5" t="s">
        <v>51</v>
      </c>
      <c r="E5" t="s">
        <v>110</v>
      </c>
      <c r="F5" t="s">
        <v>164</v>
      </c>
    </row>
    <row r="6" spans="1:6" x14ac:dyDescent="0.3">
      <c r="A6" t="s">
        <v>54</v>
      </c>
      <c r="B6" t="s">
        <v>56</v>
      </c>
      <c r="C6" t="s">
        <v>114</v>
      </c>
      <c r="D6" t="s">
        <v>57</v>
      </c>
      <c r="E6" t="s">
        <v>111</v>
      </c>
      <c r="F6" t="s">
        <v>165</v>
      </c>
    </row>
    <row r="7" spans="1:6" x14ac:dyDescent="0.3">
      <c r="A7" t="s">
        <v>58</v>
      </c>
      <c r="B7" t="s">
        <v>59</v>
      </c>
      <c r="C7" t="s">
        <v>62</v>
      </c>
      <c r="D7" t="s">
        <v>60</v>
      </c>
      <c r="E7" t="s">
        <v>63</v>
      </c>
      <c r="F7" t="s">
        <v>166</v>
      </c>
    </row>
    <row r="8" spans="1:6" x14ac:dyDescent="0.3">
      <c r="A8" t="s">
        <v>64</v>
      </c>
      <c r="B8" t="s">
        <v>65</v>
      </c>
      <c r="C8" t="s">
        <v>67</v>
      </c>
      <c r="D8" t="s">
        <v>66</v>
      </c>
      <c r="E8" t="s">
        <v>68</v>
      </c>
      <c r="F8" t="s">
        <v>167</v>
      </c>
    </row>
    <row r="9" spans="1:6" x14ac:dyDescent="0.3">
      <c r="A9" t="s">
        <v>69</v>
      </c>
      <c r="B9" t="s">
        <v>70</v>
      </c>
      <c r="C9" t="s">
        <v>72</v>
      </c>
      <c r="D9" t="s">
        <v>71</v>
      </c>
      <c r="E9" t="s">
        <v>73</v>
      </c>
      <c r="F9" t="s">
        <v>168</v>
      </c>
    </row>
    <row r="10" spans="1:6" x14ac:dyDescent="0.3">
      <c r="A10" t="s">
        <v>74</v>
      </c>
      <c r="B10" t="s">
        <v>76</v>
      </c>
      <c r="C10" t="s">
        <v>75</v>
      </c>
      <c r="D10" t="s">
        <v>77</v>
      </c>
      <c r="E10" t="s">
        <v>78</v>
      </c>
      <c r="F10" t="s">
        <v>169</v>
      </c>
    </row>
    <row r="11" spans="1:6" x14ac:dyDescent="0.3">
      <c r="A11" t="s">
        <v>197</v>
      </c>
      <c r="B11" t="s">
        <v>198</v>
      </c>
      <c r="C11" t="s">
        <v>79</v>
      </c>
      <c r="D11" t="s">
        <v>199</v>
      </c>
      <c r="E11" t="s">
        <v>80</v>
      </c>
      <c r="F11" t="s">
        <v>170</v>
      </c>
    </row>
    <row r="12" spans="1:6" x14ac:dyDescent="0.3">
      <c r="A12" t="s">
        <v>81</v>
      </c>
      <c r="B12" t="s">
        <v>82</v>
      </c>
      <c r="C12" t="s">
        <v>84</v>
      </c>
      <c r="D12" t="s">
        <v>83</v>
      </c>
      <c r="E12" t="s">
        <v>85</v>
      </c>
      <c r="F12" t="s">
        <v>171</v>
      </c>
    </row>
    <row r="13" spans="1:6" x14ac:dyDescent="0.3">
      <c r="A13" t="s">
        <v>86</v>
      </c>
      <c r="B13" t="s">
        <v>87</v>
      </c>
      <c r="C13" t="s">
        <v>88</v>
      </c>
      <c r="D13" t="s">
        <v>90</v>
      </c>
      <c r="E13" t="s">
        <v>89</v>
      </c>
      <c r="F13" t="s">
        <v>172</v>
      </c>
    </row>
    <row r="14" spans="1:6" x14ac:dyDescent="0.3">
      <c r="A14" t="s">
        <v>91</v>
      </c>
      <c r="B14" t="s">
        <v>92</v>
      </c>
      <c r="C14" t="s">
        <v>115</v>
      </c>
      <c r="D14" t="s">
        <v>93</v>
      </c>
      <c r="E14" t="s">
        <v>112</v>
      </c>
      <c r="F14" t="s">
        <v>164</v>
      </c>
    </row>
    <row r="15" spans="1:6" x14ac:dyDescent="0.3">
      <c r="A15" t="s">
        <v>98</v>
      </c>
      <c r="B15" t="s">
        <v>95</v>
      </c>
      <c r="C15" t="s">
        <v>94</v>
      </c>
      <c r="D15" t="s">
        <v>97</v>
      </c>
      <c r="E15" t="s">
        <v>96</v>
      </c>
      <c r="F15" t="s">
        <v>173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55493-34F1-4B57-B172-000EC162B619}">
  <sheetPr codeName="Sheet7"/>
  <dimension ref="A1:B9"/>
  <sheetViews>
    <sheetView workbookViewId="0">
      <selection activeCell="L6" sqref="L6"/>
    </sheetView>
  </sheetViews>
  <sheetFormatPr defaultRowHeight="16.5" x14ac:dyDescent="0.3"/>
  <cols>
    <col min="2" max="2" width="12.875" bestFit="1" customWidth="1"/>
  </cols>
  <sheetData>
    <row r="1" spans="1:2" x14ac:dyDescent="0.3">
      <c r="A1" t="s">
        <v>10</v>
      </c>
      <c r="B1" t="s">
        <v>261</v>
      </c>
    </row>
    <row r="2" spans="1:2" x14ac:dyDescent="0.3">
      <c r="A2">
        <v>0</v>
      </c>
      <c r="B2" t="s">
        <v>262</v>
      </c>
    </row>
    <row r="3" spans="1:2" x14ac:dyDescent="0.3">
      <c r="B3" t="s">
        <v>263</v>
      </c>
    </row>
    <row r="4" spans="1:2" x14ac:dyDescent="0.3">
      <c r="B4" t="s">
        <v>264</v>
      </c>
    </row>
    <row r="5" spans="1:2" x14ac:dyDescent="0.3">
      <c r="B5" t="s">
        <v>265</v>
      </c>
    </row>
    <row r="6" spans="1:2" x14ac:dyDescent="0.3">
      <c r="B6" t="s">
        <v>266</v>
      </c>
    </row>
    <row r="7" spans="1:2" x14ac:dyDescent="0.3">
      <c r="B7" t="s">
        <v>267</v>
      </c>
    </row>
    <row r="8" spans="1:2" x14ac:dyDescent="0.3">
      <c r="B8" t="s">
        <v>268</v>
      </c>
    </row>
    <row r="9" spans="1:2" x14ac:dyDescent="0.3">
      <c r="B9" t="s">
        <v>269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550B-510A-4CFA-83CD-4B037E1BB501}">
  <dimension ref="A1:C3"/>
  <sheetViews>
    <sheetView tabSelected="1" workbookViewId="0">
      <selection activeCell="C5" sqref="C5"/>
    </sheetView>
  </sheetViews>
  <sheetFormatPr defaultRowHeight="16.5" x14ac:dyDescent="0.3"/>
  <cols>
    <col min="2" max="2" width="14.375" bestFit="1" customWidth="1"/>
    <col min="3" max="3" width="10.875" bestFit="1" customWidth="1"/>
  </cols>
  <sheetData>
    <row r="1" spans="1:3" x14ac:dyDescent="0.3">
      <c r="A1" t="s">
        <v>10</v>
      </c>
      <c r="B1" t="s">
        <v>273</v>
      </c>
      <c r="C1" t="s">
        <v>274</v>
      </c>
    </row>
    <row r="2" spans="1:3" x14ac:dyDescent="0.3">
      <c r="A2">
        <v>1</v>
      </c>
      <c r="B2" t="s">
        <v>207</v>
      </c>
      <c r="C2">
        <v>3</v>
      </c>
    </row>
    <row r="3" spans="1:3" x14ac:dyDescent="0.3">
      <c r="A3">
        <v>2</v>
      </c>
      <c r="B3" t="s">
        <v>275</v>
      </c>
      <c r="C3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ProgramData</vt:lpstr>
      <vt:lpstr>EnemyData</vt:lpstr>
      <vt:lpstr>CommandData</vt:lpstr>
      <vt:lpstr>ModuleData</vt:lpstr>
      <vt:lpstr>BuffData</vt:lpstr>
      <vt:lpstr>PatchData</vt:lpstr>
      <vt:lpstr>PoolData</vt:lpstr>
      <vt:lpstr>BattleData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suah Lee</dc:creator>
  <cp:lastModifiedBy>suah Lee</cp:lastModifiedBy>
  <dcterms:created xsi:type="dcterms:W3CDTF">2025-11-25T07:31:47Z</dcterms:created>
  <dcterms:modified xsi:type="dcterms:W3CDTF">2025-11-28T16:05:11Z</dcterms:modified>
</cp:coreProperties>
</file>